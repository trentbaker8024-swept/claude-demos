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Overview" sheetId="1" state="visible" r:id="rId3"/>
    <sheet name="Vendor Tracker" sheetId="2" state="visible" r:id="rId4"/>
    <sheet name="Payment Schedule" sheetId="3" state="visible" r:id="rId5"/>
    <sheet name="Guest 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<sst xmlns="http://schemas.openxmlformats.org/spreadsheetml/2006/main" count="506" uniqueCount="209">
  <si>
    <t xml:space="preserve">Wedding Budget Tracker</t>
  </si>
  <si>
    <t xml:space="preserve">SUMMARY</t>
  </si>
  <si>
    <t xml:space="preserve">Total Budget</t>
  </si>
  <si>
    <t xml:space="preserve">Total Spent</t>
  </si>
  <si>
    <t xml:space="preserve">Remaining</t>
  </si>
  <si>
    <t xml:space="preserve">% Used</t>
  </si>
  <si>
    <t xml:space="preserve">Category</t>
  </si>
  <si>
    <t xml:space="preserve">Budgeted</t>
  </si>
  <si>
    <t xml:space="preserve">Actual Spent</t>
  </si>
  <si>
    <t xml:space="preserve">Status</t>
  </si>
  <si>
    <t xml:space="preserve">Venue</t>
  </si>
  <si>
    <t xml:space="preserve">Catering</t>
  </si>
  <si>
    <t xml:space="preserve">Photography</t>
  </si>
  <si>
    <t xml:space="preserve">Flowers</t>
  </si>
  <si>
    <t xml:space="preserve">DJ/Music</t>
  </si>
  <si>
    <t xml:space="preserve">Attire</t>
  </si>
  <si>
    <t xml:space="preserve">Invitations</t>
  </si>
  <si>
    <t xml:space="preserve">Transportation</t>
  </si>
  <si>
    <t xml:space="preserve">Décor</t>
  </si>
  <si>
    <t xml:space="preserve">Cake</t>
  </si>
  <si>
    <t xml:space="preserve">Officiant</t>
  </si>
  <si>
    <t xml:space="preserve">Hair &amp; Makeup</t>
  </si>
  <si>
    <t xml:space="preserve">Favors</t>
  </si>
  <si>
    <t xml:space="preserve">Miscellaneous</t>
  </si>
  <si>
    <t xml:space="preserve">Vendor Name</t>
  </si>
  <si>
    <t xml:space="preserve">Contact</t>
  </si>
  <si>
    <t xml:space="preserve">Phone</t>
  </si>
  <si>
    <t xml:space="preserve">Email</t>
  </si>
  <si>
    <t xml:space="preserve">Quote</t>
  </si>
  <si>
    <t xml:space="preserve">Deposit Paid</t>
  </si>
  <si>
    <t xml:space="preserve">Deposit Date</t>
  </si>
  <si>
    <t xml:space="preserve">Balance Due</t>
  </si>
  <si>
    <t xml:space="preserve">Due Date</t>
  </si>
  <si>
    <t xml:space="preserve">Grand Ballroom</t>
  </si>
  <si>
    <t xml:space="preserve">Sarah Johnson</t>
  </si>
  <si>
    <t xml:space="preserve">555-0101</t>
  </si>
  <si>
    <t xml:space="preserve">sarah@ballroom.com</t>
  </si>
  <si>
    <t xml:space="preserve">2026-01-15</t>
  </si>
  <si>
    <t xml:space="preserve">2026-08-01</t>
  </si>
  <si>
    <t xml:space="preserve">Booked</t>
  </si>
  <si>
    <t xml:space="preserve">Culinary Delights</t>
  </si>
  <si>
    <t xml:space="preserve">Michael Chen</t>
  </si>
  <si>
    <t xml:space="preserve">555-0102</t>
  </si>
  <si>
    <t xml:space="preserve">michael@delights.com</t>
  </si>
  <si>
    <t xml:space="preserve">2026-01-20</t>
  </si>
  <si>
    <t xml:space="preserve">2026-09-15</t>
  </si>
  <si>
    <t xml:space="preserve">Sunset Photography</t>
  </si>
  <si>
    <t xml:space="preserve">Jessica Lee</t>
  </si>
  <si>
    <t xml:space="preserve">555-0103</t>
  </si>
  <si>
    <t xml:space="preserve">jessica@sunset.com</t>
  </si>
  <si>
    <t xml:space="preserve">2026-02-01</t>
  </si>
  <si>
    <t xml:space="preserve">2026-10-01</t>
  </si>
  <si>
    <t xml:space="preserve">Bloom &amp; Petals</t>
  </si>
  <si>
    <t xml:space="preserve">David Martinez</t>
  </si>
  <si>
    <t xml:space="preserve">555-0104</t>
  </si>
  <si>
    <t xml:space="preserve">david@bloom.com</t>
  </si>
  <si>
    <t xml:space="preserve">2026-02-10</t>
  </si>
  <si>
    <t xml:space="preserve">DJ Supreme</t>
  </si>
  <si>
    <t xml:space="preserve">Alex Rodriguez</t>
  </si>
  <si>
    <t xml:space="preserve">555-0105</t>
  </si>
  <si>
    <t xml:space="preserve">alex@supreme.com</t>
  </si>
  <si>
    <t xml:space="preserve">2026-02-15</t>
  </si>
  <si>
    <t xml:space="preserve">2026-09-30</t>
  </si>
  <si>
    <t xml:space="preserve">Fashion House</t>
  </si>
  <si>
    <t xml:space="preserve">Emma Wilson</t>
  </si>
  <si>
    <t xml:space="preserve">555-0106</t>
  </si>
  <si>
    <t xml:space="preserve">emma@fashion.com</t>
  </si>
  <si>
    <t xml:space="preserve">2026-08-15</t>
  </si>
  <si>
    <t xml:space="preserve">Pending</t>
  </si>
  <si>
    <t xml:space="preserve">Print Perfect</t>
  </si>
  <si>
    <t xml:space="preserve">Robert Taylor</t>
  </si>
  <si>
    <t xml:space="preserve">555-0107</t>
  </si>
  <si>
    <t xml:space="preserve">robert@print.com</t>
  </si>
  <si>
    <t xml:space="preserve">2026-01-10</t>
  </si>
  <si>
    <t xml:space="preserve">2026-06-01</t>
  </si>
  <si>
    <t xml:space="preserve">City Limo Service</t>
  </si>
  <si>
    <t xml:space="preserve">Thomas Brown</t>
  </si>
  <si>
    <t xml:space="preserve">555-0108</t>
  </si>
  <si>
    <t xml:space="preserve">thomas@limo.com</t>
  </si>
  <si>
    <t xml:space="preserve">2026-03-01</t>
  </si>
  <si>
    <t xml:space="preserve">Décor Specialists</t>
  </si>
  <si>
    <t xml:space="preserve">Lisa Anderson</t>
  </si>
  <si>
    <t xml:space="preserve">555-0109</t>
  </si>
  <si>
    <t xml:space="preserve">lisa@decor.com</t>
  </si>
  <si>
    <t xml:space="preserve">2026-02-20</t>
  </si>
  <si>
    <t xml:space="preserve">2026-09-20</t>
  </si>
  <si>
    <t xml:space="preserve">Sweet Creations</t>
  </si>
  <si>
    <t xml:space="preserve">Jennifer Garcia</t>
  </si>
  <si>
    <t xml:space="preserve">555-0110</t>
  </si>
  <si>
    <t xml:space="preserve">jen@creations.com</t>
  </si>
  <si>
    <t xml:space="preserve">2026-03-10</t>
  </si>
  <si>
    <t xml:space="preserve">2026-09-25</t>
  </si>
  <si>
    <t xml:space="preserve">Rev. James Smith</t>
  </si>
  <si>
    <t xml:space="preserve">James Smith</t>
  </si>
  <si>
    <t xml:space="preserve">555-0111</t>
  </si>
  <si>
    <t xml:space="preserve">james@faith.com</t>
  </si>
  <si>
    <t xml:space="preserve">2026-01-05</t>
  </si>
  <si>
    <t xml:space="preserve">Paid</t>
  </si>
  <si>
    <t xml:space="preserve">Beauty Artistry</t>
  </si>
  <si>
    <t xml:space="preserve">Amanda White</t>
  </si>
  <si>
    <t xml:space="preserve">555-0112</t>
  </si>
  <si>
    <t xml:space="preserve">amanda@beauty.com</t>
  </si>
  <si>
    <t xml:space="preserve">2026-03-15</t>
  </si>
  <si>
    <t xml:space="preserve">Gift &amp; Co</t>
  </si>
  <si>
    <t xml:space="preserve">Nicole Davis</t>
  </si>
  <si>
    <t xml:space="preserve">555-0113</t>
  </si>
  <si>
    <t xml:space="preserve">nicole@gift.com</t>
  </si>
  <si>
    <t xml:space="preserve">2026-04-01</t>
  </si>
  <si>
    <t xml:space="preserve">2026-08-30</t>
  </si>
  <si>
    <t xml:space="preserve">Event Planning Co</t>
  </si>
  <si>
    <t xml:space="preserve">Kevin Moore</t>
  </si>
  <si>
    <t xml:space="preserve">555-0114</t>
  </si>
  <si>
    <t xml:space="preserve">kevin@events.com</t>
  </si>
  <si>
    <t xml:space="preserve">2026-09-01</t>
  </si>
  <si>
    <t xml:space="preserve">Premium Bar Services</t>
  </si>
  <si>
    <t xml:space="preserve">Patrick Green</t>
  </si>
  <si>
    <t xml:space="preserve">555-0115</t>
  </si>
  <si>
    <t xml:space="preserve">patrick@bar.com</t>
  </si>
  <si>
    <t xml:space="preserve">Month</t>
  </si>
  <si>
    <t xml:space="preserve">Vendor</t>
  </si>
  <si>
    <t xml:space="preserve">Amount Due</t>
  </si>
  <si>
    <t xml:space="preserve">Payment Method</t>
  </si>
  <si>
    <t xml:space="preserve">Notes</t>
  </si>
  <si>
    <t xml:space="preserve">January 2026</t>
  </si>
  <si>
    <t xml:space="preserve">Y</t>
  </si>
  <si>
    <t xml:space="preserve">Check</t>
  </si>
  <si>
    <t xml:space="preserve">Deposit</t>
  </si>
  <si>
    <t xml:space="preserve">Credit Card</t>
  </si>
  <si>
    <t xml:space="preserve">Cash</t>
  </si>
  <si>
    <t xml:space="preserve">Full Payment</t>
  </si>
  <si>
    <t xml:space="preserve">February 2026</t>
  </si>
  <si>
    <t xml:space="preserve">Bank Transfer</t>
  </si>
  <si>
    <t xml:space="preserve">March 2026</t>
  </si>
  <si>
    <t xml:space="preserve">April 2026</t>
  </si>
  <si>
    <t xml:space="preserve">N</t>
  </si>
  <si>
    <t xml:space="preserve">May 2026</t>
  </si>
  <si>
    <t xml:space="preserve">Second Payment</t>
  </si>
  <si>
    <t xml:space="preserve">June 2026</t>
  </si>
  <si>
    <t xml:space="preserve">Final Payment</t>
  </si>
  <si>
    <t xml:space="preserve">July 2026</t>
  </si>
  <si>
    <t xml:space="preserve">First Payment</t>
  </si>
  <si>
    <t xml:space="preserve">August 2026</t>
  </si>
  <si>
    <t xml:space="preserve">September 2026</t>
  </si>
  <si>
    <t xml:space="preserve">October 2026</t>
  </si>
  <si>
    <t xml:space="preserve">Running Total</t>
  </si>
  <si>
    <t xml:space="preserve">Name</t>
  </si>
  <si>
    <t xml:space="preserve">Party Size</t>
  </si>
  <si>
    <t xml:space="preserve">RSVP Status</t>
  </si>
  <si>
    <t xml:space="preserve">Meal Choice</t>
  </si>
  <si>
    <t xml:space="preserve">Table Number</t>
  </si>
  <si>
    <t xml:space="preserve">Gift Received</t>
  </si>
  <si>
    <t xml:space="preserve">Margaret Thompson</t>
  </si>
  <si>
    <t xml:space="preserve">Attending</t>
  </si>
  <si>
    <t xml:space="preserve">Beef</t>
  </si>
  <si>
    <t xml:space="preserve">Robert Thompson</t>
  </si>
  <si>
    <t xml:space="preserve">Chicken</t>
  </si>
  <si>
    <t xml:space="preserve">Jennifer Wilson</t>
  </si>
  <si>
    <t xml:space="preserve">Vegetarian</t>
  </si>
  <si>
    <t xml:space="preserve">David Wilson</t>
  </si>
  <si>
    <t xml:space="preserve">Susan Garcia</t>
  </si>
  <si>
    <t xml:space="preserve">Michael Garcia</t>
  </si>
  <si>
    <t xml:space="preserve">Fish</t>
  </si>
  <si>
    <t xml:space="preserve">Patricia Martinez</t>
  </si>
  <si>
    <t xml:space="preserve">James Martinez</t>
  </si>
  <si>
    <t xml:space="preserve">Linda Anderson</t>
  </si>
  <si>
    <t xml:space="preserve">Christopher Anderson</t>
  </si>
  <si>
    <t xml:space="preserve">Declined</t>
  </si>
  <si>
    <t xml:space="preserve">Barbara Taylor</t>
  </si>
  <si>
    <t xml:space="preserve">Joseph Taylor</t>
  </si>
  <si>
    <t xml:space="preserve">Elizabeth Thomas</t>
  </si>
  <si>
    <t xml:space="preserve">Richard Thomas</t>
  </si>
  <si>
    <t xml:space="preserve">Susan Jackson</t>
  </si>
  <si>
    <t xml:space="preserve">Daniel Jackson</t>
  </si>
  <si>
    <t xml:space="preserve">Jessica White</t>
  </si>
  <si>
    <t xml:space="preserve">Kenneth White</t>
  </si>
  <si>
    <t xml:space="preserve">Sarah Harris</t>
  </si>
  <si>
    <t xml:space="preserve">Paul Harris</t>
  </si>
  <si>
    <t xml:space="preserve">Emily Martin</t>
  </si>
  <si>
    <t xml:space="preserve">Mark Martin</t>
  </si>
  <si>
    <t xml:space="preserve">Amanda Clark</t>
  </si>
  <si>
    <t xml:space="preserve">Steven Clark</t>
  </si>
  <si>
    <t xml:space="preserve">Donna Lewis</t>
  </si>
  <si>
    <t xml:space="preserve">Brian Lewis</t>
  </si>
  <si>
    <t xml:space="preserve">Karen Lee</t>
  </si>
  <si>
    <t xml:space="preserve">Edward Lee</t>
  </si>
  <si>
    <t xml:space="preserve">Nancy Walker</t>
  </si>
  <si>
    <t xml:space="preserve">Ronald Walker</t>
  </si>
  <si>
    <t xml:space="preserve">Michelle Hall</t>
  </si>
  <si>
    <t xml:space="preserve">George Hall</t>
  </si>
  <si>
    <t xml:space="preserve">Dorothy Allen</t>
  </si>
  <si>
    <t xml:space="preserve">Kenneth Allen</t>
  </si>
  <si>
    <t xml:space="preserve">Betty Young</t>
  </si>
  <si>
    <t xml:space="preserve">Jerry Young</t>
  </si>
  <si>
    <t xml:space="preserve">Sandra Hernandez</t>
  </si>
  <si>
    <t xml:space="preserve">Anthony Hernandez</t>
  </si>
  <si>
    <t xml:space="preserve">Ashley King</t>
  </si>
  <si>
    <t xml:space="preserve">Willie King</t>
  </si>
  <si>
    <t xml:space="preserve">Kathleen Wright</t>
  </si>
  <si>
    <t xml:space="preserve">Dennis Wright</t>
  </si>
  <si>
    <t xml:space="preserve">Shirley Lopez</t>
  </si>
  <si>
    <t xml:space="preserve">Gary Lopez</t>
  </si>
  <si>
    <t xml:space="preserve">Angela Hill</t>
  </si>
  <si>
    <t xml:space="preserve">Frank Hill</t>
  </si>
  <si>
    <t xml:space="preserve">Brenda Scott</t>
  </si>
  <si>
    <t xml:space="preserve">Zachary Scott</t>
  </si>
  <si>
    <t xml:space="preserve">Pamela Green</t>
  </si>
  <si>
    <t xml:space="preserve">Samuel Green</t>
  </si>
  <si>
    <t xml:space="preserve">RSVP Summary</t>
  </si>
  <si>
    <t xml:space="preserve">Total Guests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</si>
</sst>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9191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AF9F5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7757"/>
        <bgColor rgb="FFFF6600"/>
      </patternFill>
    </fill>
    <fill>
      <patternFill patternType="solid">
        <fgColor rgb="FF191918"/>
        <bgColor rgb="FF000000"/>
      </patternFill>
    </fill>
    <fill>
      <patternFill patternType="solid">
        <fgColor rgb="FFF4F3EE"/>
        <bgColor rgb="FFFAF9F5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AF9F5"/>
      </patternFill>
    </fill>
    <fill>
      <patternFill patternType="solid">
        <fgColor rgb="FFFFEB9C"/>
        <bgColor rgb="FFF4F3EE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9F5"/>
      <rgbColor rgb="FFF4F3EE"/>
      <rgbColor rgb="FF660066"/>
      <rgbColor rgb="FFD9775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919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6" min="5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45000</v>
      </c>
    </row>
    <row r="5" customFormat="false" ht="15" hidden="false" customHeight="false" outlineLevel="0" collapsed="false">
      <c r="A5" s="0" t="s">
        <v>3</v>
      </c>
      <c r="B5" s="3" t="n">
        <f aca="false">SUM(C12:C25)</f>
        <v>25350</v>
      </c>
    </row>
    <row r="6" customFormat="false" ht="15" hidden="false" customHeight="false" outlineLevel="0" collapsed="false">
      <c r="A6" s="0" t="s">
        <v>4</v>
      </c>
      <c r="B6" s="3" t="n">
        <f aca="false">B4-B5</f>
        <v>19650</v>
      </c>
    </row>
    <row r="7" customFormat="false" ht="15" hidden="false" customHeight="false" outlineLevel="0" collapsed="false">
      <c r="A7" s="0" t="s">
        <v>5</v>
      </c>
      <c r="B7" s="4" t="n">
        <f aca="false">B5/B4</f>
        <v>0.563333333333333</v>
      </c>
    </row>
    <row r="10" customFormat="false" ht="15" hidden="false" customHeight="false" outlineLevel="0" collapsed="false">
      <c r="A10" s="5" t="s">
        <v>6</v>
      </c>
      <c r="B10" s="5" t="s">
        <v>7</v>
      </c>
      <c r="C10" s="5" t="s">
        <v>8</v>
      </c>
      <c r="D10" s="5" t="s">
        <v>4</v>
      </c>
      <c r="E10" s="5" t="s">
        <v>5</v>
      </c>
      <c r="F10" s="5" t="s">
        <v>9</v>
      </c>
    </row>
    <row r="11" customFormat="false" ht="15" hidden="false" customHeight="false" outlineLevel="0" collapsed="false">
      <c r="A11" s="6" t="s">
        <v>10</v>
      </c>
      <c r="B11" s="7" t="n">
        <v>15000</v>
      </c>
      <c r="C11" s="7" t="n">
        <v>12000</v>
      </c>
      <c r="D11" s="7" t="n">
        <f aca="false">B11-C11</f>
        <v>3000</v>
      </c>
      <c r="E11" s="8" t="n">
        <f aca="false">C11/B11</f>
        <v>0.8</v>
      </c>
      <c r="F11" s="9" t="str">
        <f aca="false">IF(C11&gt;B11,"Over",IF(C11&gt;=B11*0.95,"Close","Under"))</f>
        <v>Under</v>
      </c>
    </row>
    <row r="12" customFormat="false" ht="15" hidden="false" customHeight="false" outlineLevel="0" collapsed="false">
      <c r="A12" s="10" t="s">
        <v>11</v>
      </c>
      <c r="B12" s="11" t="n">
        <v>9000</v>
      </c>
      <c r="C12" s="11" t="n">
        <v>8500</v>
      </c>
      <c r="D12" s="11" t="n">
        <f aca="false">B12-C12</f>
        <v>500</v>
      </c>
      <c r="E12" s="12" t="n">
        <f aca="false">C12/B12</f>
        <v>0.944444444444444</v>
      </c>
      <c r="F12" s="9" t="str">
        <f aca="false">IF(C12&gt;B12,"Over",IF(C12&gt;=B12*0.95,"Close","Under"))</f>
        <v>Under</v>
      </c>
    </row>
    <row r="13" customFormat="false" ht="15" hidden="false" customHeight="false" outlineLevel="0" collapsed="false">
      <c r="A13" s="6" t="s">
        <v>12</v>
      </c>
      <c r="B13" s="7" t="n">
        <v>4000</v>
      </c>
      <c r="C13" s="7" t="n">
        <v>3200</v>
      </c>
      <c r="D13" s="7" t="n">
        <f aca="false">B13-C13</f>
        <v>800</v>
      </c>
      <c r="E13" s="8" t="n">
        <f aca="false">C13/B13</f>
        <v>0.8</v>
      </c>
      <c r="F13" s="9" t="str">
        <f aca="false">IF(C13&gt;B13,"Over",IF(C13&gt;=B13*0.95,"Close","Under"))</f>
        <v>Under</v>
      </c>
    </row>
    <row r="14" customFormat="false" ht="15" hidden="false" customHeight="false" outlineLevel="0" collapsed="false">
      <c r="A14" s="10" t="s">
        <v>13</v>
      </c>
      <c r="B14" s="11" t="n">
        <v>3500</v>
      </c>
      <c r="C14" s="11" t="n">
        <v>2800</v>
      </c>
      <c r="D14" s="11" t="n">
        <f aca="false">B14-C14</f>
        <v>700</v>
      </c>
      <c r="E14" s="12" t="n">
        <f aca="false">C14/B14</f>
        <v>0.8</v>
      </c>
      <c r="F14" s="9" t="str">
        <f aca="false">IF(C14&gt;B14,"Over",IF(C14&gt;=B14*0.95,"Close","Under"))</f>
        <v>Under</v>
      </c>
    </row>
    <row r="15" customFormat="false" ht="15" hidden="false" customHeight="false" outlineLevel="0" collapsed="false">
      <c r="A15" s="6" t="s">
        <v>14</v>
      </c>
      <c r="B15" s="7" t="n">
        <v>2000</v>
      </c>
      <c r="C15" s="7" t="n">
        <v>1800</v>
      </c>
      <c r="D15" s="7" t="n">
        <f aca="false">B15-C15</f>
        <v>200</v>
      </c>
      <c r="E15" s="8" t="n">
        <f aca="false">C15/B15</f>
        <v>0.9</v>
      </c>
      <c r="F15" s="9" t="str">
        <f aca="false">IF(C15&gt;B15,"Over",IF(C15&gt;=B15*0.95,"Close","Under"))</f>
        <v>Under</v>
      </c>
    </row>
    <row r="16" customFormat="false" ht="15" hidden="false" customHeight="false" outlineLevel="0" collapsed="false">
      <c r="A16" s="10" t="s">
        <v>15</v>
      </c>
      <c r="B16" s="11" t="n">
        <v>3000</v>
      </c>
      <c r="C16" s="11" t="n">
        <v>2500</v>
      </c>
      <c r="D16" s="11" t="n">
        <f aca="false">B16-C16</f>
        <v>500</v>
      </c>
      <c r="E16" s="12" t="n">
        <f aca="false">C16/B16</f>
        <v>0.833333333333333</v>
      </c>
      <c r="F16" s="9" t="str">
        <f aca="false">IF(C16&gt;B16,"Over",IF(C16&gt;=B16*0.95,"Close","Under"))</f>
        <v>Under</v>
      </c>
    </row>
    <row r="17" customFormat="false" ht="15" hidden="false" customHeight="false" outlineLevel="0" collapsed="false">
      <c r="A17" s="6" t="s">
        <v>16</v>
      </c>
      <c r="B17" s="7" t="n">
        <v>800</v>
      </c>
      <c r="C17" s="7" t="n">
        <v>650</v>
      </c>
      <c r="D17" s="7" t="n">
        <f aca="false">B17-C17</f>
        <v>150</v>
      </c>
      <c r="E17" s="8" t="n">
        <f aca="false">C17/B17</f>
        <v>0.8125</v>
      </c>
      <c r="F17" s="9" t="str">
        <f aca="false">IF(C17&gt;B17,"Over",IF(C17&gt;=B17*0.95,"Close","Under"))</f>
        <v>Under</v>
      </c>
    </row>
    <row r="18" customFormat="false" ht="15" hidden="false" customHeight="false" outlineLevel="0" collapsed="false">
      <c r="A18" s="10" t="s">
        <v>17</v>
      </c>
      <c r="B18" s="11" t="n">
        <v>1200</v>
      </c>
      <c r="C18" s="11" t="n">
        <v>900</v>
      </c>
      <c r="D18" s="11" t="n">
        <f aca="false">B18-C18</f>
        <v>300</v>
      </c>
      <c r="E18" s="12" t="n">
        <f aca="false">C18/B18</f>
        <v>0.75</v>
      </c>
      <c r="F18" s="9" t="str">
        <f aca="false">IF(C18&gt;B18,"Over",IF(C18&gt;=B18*0.95,"Close","Under"))</f>
        <v>Under</v>
      </c>
    </row>
    <row r="19" customFormat="false" ht="15" hidden="false" customHeight="false" outlineLevel="0" collapsed="false">
      <c r="A19" s="6" t="s">
        <v>18</v>
      </c>
      <c r="B19" s="7" t="n">
        <v>2000</v>
      </c>
      <c r="C19" s="7" t="n">
        <v>1500</v>
      </c>
      <c r="D19" s="7" t="n">
        <f aca="false">B19-C19</f>
        <v>500</v>
      </c>
      <c r="E19" s="8" t="n">
        <f aca="false">C19/B19</f>
        <v>0.75</v>
      </c>
      <c r="F19" s="9" t="str">
        <f aca="false">IF(C19&gt;B19,"Over",IF(C19&gt;=B19*0.95,"Close","Under"))</f>
        <v>Under</v>
      </c>
    </row>
    <row r="20" customFormat="false" ht="15" hidden="false" customHeight="false" outlineLevel="0" collapsed="false">
      <c r="A20" s="10" t="s">
        <v>19</v>
      </c>
      <c r="B20" s="11" t="n">
        <v>1000</v>
      </c>
      <c r="C20" s="11" t="n">
        <v>800</v>
      </c>
      <c r="D20" s="11" t="n">
        <f aca="false">B20-C20</f>
        <v>200</v>
      </c>
      <c r="E20" s="12" t="n">
        <f aca="false">C20/B20</f>
        <v>0.8</v>
      </c>
      <c r="F20" s="9" t="str">
        <f aca="false">IF(C20&gt;B20,"Over",IF(C20&gt;=B20*0.95,"Close","Under"))</f>
        <v>Under</v>
      </c>
    </row>
    <row r="21" customFormat="false" ht="15" hidden="false" customHeight="false" outlineLevel="0" collapsed="false">
      <c r="A21" s="6" t="s">
        <v>20</v>
      </c>
      <c r="B21" s="7" t="n">
        <v>500</v>
      </c>
      <c r="C21" s="7" t="n">
        <v>500</v>
      </c>
      <c r="D21" s="7" t="n">
        <f aca="false">B21-C21</f>
        <v>0</v>
      </c>
      <c r="E21" s="8" t="n">
        <f aca="false">C21/B21</f>
        <v>1</v>
      </c>
      <c r="F21" s="9" t="str">
        <f aca="false">IF(C21&gt;B21,"Over",IF(C21&gt;=B21*0.95,"Close","Under"))</f>
        <v>Close</v>
      </c>
    </row>
    <row r="22" customFormat="false" ht="15" hidden="false" customHeight="false" outlineLevel="0" collapsed="false">
      <c r="A22" s="10" t="s">
        <v>21</v>
      </c>
      <c r="B22" s="11" t="n">
        <v>1500</v>
      </c>
      <c r="C22" s="11" t="n">
        <v>1200</v>
      </c>
      <c r="D22" s="11" t="n">
        <f aca="false">B22-C22</f>
        <v>300</v>
      </c>
      <c r="E22" s="12" t="n">
        <f aca="false">C22/B22</f>
        <v>0.8</v>
      </c>
      <c r="F22" s="9" t="str">
        <f aca="false">IF(C22&gt;B22,"Over",IF(C22&gt;=B22*0.95,"Close","Under"))</f>
        <v>Under</v>
      </c>
    </row>
    <row r="23" customFormat="false" ht="15" hidden="false" customHeight="false" outlineLevel="0" collapsed="false">
      <c r="A23" s="6" t="s">
        <v>22</v>
      </c>
      <c r="B23" s="7" t="n">
        <v>750</v>
      </c>
      <c r="C23" s="7" t="n">
        <v>600</v>
      </c>
      <c r="D23" s="7" t="n">
        <f aca="false">B23-C23</f>
        <v>150</v>
      </c>
      <c r="E23" s="8" t="n">
        <f aca="false">C23/B23</f>
        <v>0.8</v>
      </c>
      <c r="F23" s="9" t="str">
        <f aca="false">IF(C23&gt;B23,"Over",IF(C23&gt;=B23*0.95,"Close","Under"))</f>
        <v>Under</v>
      </c>
    </row>
    <row r="24" customFormat="false" ht="15" hidden="false" customHeight="false" outlineLevel="0" collapsed="false">
      <c r="A24" s="10" t="s">
        <v>23</v>
      </c>
      <c r="B24" s="11" t="n">
        <v>750</v>
      </c>
      <c r="C24" s="11" t="n">
        <v>400</v>
      </c>
      <c r="D24" s="11" t="n">
        <f aca="false">B24-C24</f>
        <v>350</v>
      </c>
      <c r="E24" s="12" t="n">
        <f aca="false">C24/B24</f>
        <v>0.533333333333333</v>
      </c>
      <c r="F24" s="9" t="str">
        <f aca="false">IF(C24&gt;B24,"Over",IF(C24&gt;=B24*0.95,"Close","Under"))</f>
        <v>Under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1" min="9" style="0" width="12"/>
  </cols>
  <sheetData>
    <row r="1" customFormat="false" ht="15" hidden="false" customHeight="false" outlineLevel="0" collapsed="false">
      <c r="A1" s="5" t="s">
        <v>24</v>
      </c>
      <c r="B1" s="5" t="s">
        <v>6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9</v>
      </c>
    </row>
    <row r="2" customFormat="false" ht="15" hidden="false" customHeight="false" outlineLevel="0" collapsed="false">
      <c r="A2" s="6" t="s">
        <v>33</v>
      </c>
      <c r="B2" s="6" t="s">
        <v>10</v>
      </c>
      <c r="C2" s="6" t="s">
        <v>34</v>
      </c>
      <c r="D2" s="6" t="s">
        <v>35</v>
      </c>
      <c r="E2" s="6" t="s">
        <v>36</v>
      </c>
      <c r="F2" s="7" t="n">
        <v>15000</v>
      </c>
      <c r="G2" s="7" t="n">
        <v>5000</v>
      </c>
      <c r="H2" s="6" t="s">
        <v>37</v>
      </c>
      <c r="I2" s="7" t="n">
        <v>10000</v>
      </c>
      <c r="J2" s="6" t="s">
        <v>38</v>
      </c>
      <c r="K2" s="6" t="s">
        <v>39</v>
      </c>
    </row>
    <row r="3" customFormat="false" ht="15" hidden="false" customHeight="false" outlineLevel="0" collapsed="false">
      <c r="A3" s="10" t="s">
        <v>40</v>
      </c>
      <c r="B3" s="10" t="s">
        <v>11</v>
      </c>
      <c r="C3" s="10" t="s">
        <v>41</v>
      </c>
      <c r="D3" s="10" t="s">
        <v>42</v>
      </c>
      <c r="E3" s="10" t="s">
        <v>43</v>
      </c>
      <c r="F3" s="11" t="n">
        <v>9000</v>
      </c>
      <c r="G3" s="11" t="n">
        <v>4500</v>
      </c>
      <c r="H3" s="10" t="s">
        <v>44</v>
      </c>
      <c r="I3" s="11" t="n">
        <v>4500</v>
      </c>
      <c r="J3" s="10" t="s">
        <v>45</v>
      </c>
      <c r="K3" s="6" t="s">
        <v>39</v>
      </c>
    </row>
    <row r="4" customFormat="false" ht="15" hidden="false" customHeight="false" outlineLevel="0" collapsed="false">
      <c r="A4" s="6" t="s">
        <v>46</v>
      </c>
      <c r="B4" s="6" t="s">
        <v>12</v>
      </c>
      <c r="C4" s="6" t="s">
        <v>47</v>
      </c>
      <c r="D4" s="6" t="s">
        <v>48</v>
      </c>
      <c r="E4" s="6" t="s">
        <v>49</v>
      </c>
      <c r="F4" s="7" t="n">
        <v>4000</v>
      </c>
      <c r="G4" s="7" t="n">
        <v>2000</v>
      </c>
      <c r="H4" s="6" t="s">
        <v>50</v>
      </c>
      <c r="I4" s="7" t="n">
        <v>2000</v>
      </c>
      <c r="J4" s="6" t="s">
        <v>51</v>
      </c>
      <c r="K4" s="6" t="s">
        <v>39</v>
      </c>
    </row>
    <row r="5" customFormat="false" ht="15" hidden="false" customHeight="false" outlineLevel="0" collapsed="false">
      <c r="A5" s="10" t="s">
        <v>52</v>
      </c>
      <c r="B5" s="10" t="s">
        <v>13</v>
      </c>
      <c r="C5" s="10" t="s">
        <v>53</v>
      </c>
      <c r="D5" s="10" t="s">
        <v>54</v>
      </c>
      <c r="E5" s="10" t="s">
        <v>55</v>
      </c>
      <c r="F5" s="11" t="n">
        <v>3500</v>
      </c>
      <c r="G5" s="11" t="n">
        <v>1750</v>
      </c>
      <c r="H5" s="10" t="s">
        <v>56</v>
      </c>
      <c r="I5" s="11" t="n">
        <v>1750</v>
      </c>
      <c r="J5" s="10" t="s">
        <v>51</v>
      </c>
      <c r="K5" s="6" t="s">
        <v>39</v>
      </c>
    </row>
    <row r="6" customFormat="false" ht="15" hidden="false" customHeight="false" outlineLevel="0" collapsed="false">
      <c r="A6" s="6" t="s">
        <v>57</v>
      </c>
      <c r="B6" s="6" t="s">
        <v>14</v>
      </c>
      <c r="C6" s="6" t="s">
        <v>58</v>
      </c>
      <c r="D6" s="6" t="s">
        <v>59</v>
      </c>
      <c r="E6" s="6" t="s">
        <v>60</v>
      </c>
      <c r="F6" s="7" t="n">
        <v>2000</v>
      </c>
      <c r="G6" s="7" t="n">
        <v>1000</v>
      </c>
      <c r="H6" s="6" t="s">
        <v>61</v>
      </c>
      <c r="I6" s="7" t="n">
        <v>1000</v>
      </c>
      <c r="J6" s="6" t="s">
        <v>62</v>
      </c>
      <c r="K6" s="6" t="s">
        <v>39</v>
      </c>
    </row>
    <row r="7" customFormat="false" ht="15" hidden="false" customHeight="false" outlineLevel="0" collapsed="false">
      <c r="A7" s="10" t="s">
        <v>63</v>
      </c>
      <c r="B7" s="10" t="s">
        <v>15</v>
      </c>
      <c r="C7" s="10" t="s">
        <v>64</v>
      </c>
      <c r="D7" s="10" t="s">
        <v>65</v>
      </c>
      <c r="E7" s="10" t="s">
        <v>66</v>
      </c>
      <c r="F7" s="11" t="n">
        <v>3000</v>
      </c>
      <c r="G7" s="11" t="n">
        <v>0</v>
      </c>
      <c r="H7" s="10"/>
      <c r="I7" s="11" t="n">
        <v>3000</v>
      </c>
      <c r="J7" s="10" t="s">
        <v>67</v>
      </c>
      <c r="K7" s="13" t="s">
        <v>68</v>
      </c>
    </row>
    <row r="8" customFormat="false" ht="15" hidden="false" customHeight="false" outlineLevel="0" collapsed="false">
      <c r="A8" s="6" t="s">
        <v>69</v>
      </c>
      <c r="B8" s="6" t="s">
        <v>16</v>
      </c>
      <c r="C8" s="6" t="s">
        <v>70</v>
      </c>
      <c r="D8" s="6" t="s">
        <v>71</v>
      </c>
      <c r="E8" s="6" t="s">
        <v>72</v>
      </c>
      <c r="F8" s="7" t="n">
        <v>800</v>
      </c>
      <c r="G8" s="7" t="n">
        <v>400</v>
      </c>
      <c r="H8" s="6" t="s">
        <v>73</v>
      </c>
      <c r="I8" s="7" t="n">
        <v>400</v>
      </c>
      <c r="J8" s="6" t="s">
        <v>74</v>
      </c>
      <c r="K8" s="6" t="s">
        <v>39</v>
      </c>
    </row>
    <row r="9" customFormat="false" ht="15" hidden="false" customHeight="false" outlineLevel="0" collapsed="false">
      <c r="A9" s="10" t="s">
        <v>75</v>
      </c>
      <c r="B9" s="10" t="s">
        <v>17</v>
      </c>
      <c r="C9" s="10" t="s">
        <v>76</v>
      </c>
      <c r="D9" s="10" t="s">
        <v>77</v>
      </c>
      <c r="E9" s="10" t="s">
        <v>78</v>
      </c>
      <c r="F9" s="11" t="n">
        <v>1200</v>
      </c>
      <c r="G9" s="11" t="n">
        <v>600</v>
      </c>
      <c r="H9" s="10" t="s">
        <v>79</v>
      </c>
      <c r="I9" s="11" t="n">
        <v>600</v>
      </c>
      <c r="J9" s="10" t="s">
        <v>51</v>
      </c>
      <c r="K9" s="6" t="s">
        <v>39</v>
      </c>
    </row>
    <row r="10" customFormat="false" ht="15" hidden="false" customHeight="false" outlineLevel="0" collapsed="false">
      <c r="A10" s="6" t="s">
        <v>80</v>
      </c>
      <c r="B10" s="6" t="s">
        <v>18</v>
      </c>
      <c r="C10" s="6" t="s">
        <v>81</v>
      </c>
      <c r="D10" s="6" t="s">
        <v>82</v>
      </c>
      <c r="E10" s="6" t="s">
        <v>83</v>
      </c>
      <c r="F10" s="7" t="n">
        <v>2000</v>
      </c>
      <c r="G10" s="7" t="n">
        <v>1000</v>
      </c>
      <c r="H10" s="6" t="s">
        <v>84</v>
      </c>
      <c r="I10" s="7" t="n">
        <v>1000</v>
      </c>
      <c r="J10" s="6" t="s">
        <v>85</v>
      </c>
      <c r="K10" s="6" t="s">
        <v>39</v>
      </c>
    </row>
    <row r="11" customFormat="false" ht="15" hidden="false" customHeight="false" outlineLevel="0" collapsed="false">
      <c r="A11" s="10" t="s">
        <v>86</v>
      </c>
      <c r="B11" s="10" t="s">
        <v>19</v>
      </c>
      <c r="C11" s="10" t="s">
        <v>87</v>
      </c>
      <c r="D11" s="10" t="s">
        <v>88</v>
      </c>
      <c r="E11" s="10" t="s">
        <v>89</v>
      </c>
      <c r="F11" s="11" t="n">
        <v>1000</v>
      </c>
      <c r="G11" s="11" t="n">
        <v>500</v>
      </c>
      <c r="H11" s="10" t="s">
        <v>90</v>
      </c>
      <c r="I11" s="11" t="n">
        <v>500</v>
      </c>
      <c r="J11" s="10" t="s">
        <v>91</v>
      </c>
      <c r="K11" s="6" t="s">
        <v>39</v>
      </c>
    </row>
    <row r="12" customFormat="false" ht="15" hidden="false" customHeight="false" outlineLevel="0" collapsed="false">
      <c r="A12" s="6" t="s">
        <v>92</v>
      </c>
      <c r="B12" s="6" t="s">
        <v>20</v>
      </c>
      <c r="C12" s="6" t="s">
        <v>93</v>
      </c>
      <c r="D12" s="6" t="s">
        <v>94</v>
      </c>
      <c r="E12" s="6" t="s">
        <v>95</v>
      </c>
      <c r="F12" s="7" t="n">
        <v>500</v>
      </c>
      <c r="G12" s="7" t="n">
        <v>500</v>
      </c>
      <c r="H12" s="6" t="s">
        <v>96</v>
      </c>
      <c r="I12" s="7" t="n">
        <v>0</v>
      </c>
      <c r="J12" s="6" t="s">
        <v>51</v>
      </c>
      <c r="K12" s="14" t="s">
        <v>97</v>
      </c>
    </row>
    <row r="13" customFormat="false" ht="15" hidden="false" customHeight="false" outlineLevel="0" collapsed="false">
      <c r="A13" s="10" t="s">
        <v>98</v>
      </c>
      <c r="B13" s="10" t="s">
        <v>21</v>
      </c>
      <c r="C13" s="10" t="s">
        <v>99</v>
      </c>
      <c r="D13" s="10" t="s">
        <v>100</v>
      </c>
      <c r="E13" s="10" t="s">
        <v>101</v>
      </c>
      <c r="F13" s="11" t="n">
        <v>1500</v>
      </c>
      <c r="G13" s="11" t="n">
        <v>750</v>
      </c>
      <c r="H13" s="10" t="s">
        <v>102</v>
      </c>
      <c r="I13" s="11" t="n">
        <v>750</v>
      </c>
      <c r="J13" s="10" t="s">
        <v>51</v>
      </c>
      <c r="K13" s="6" t="s">
        <v>39</v>
      </c>
    </row>
    <row r="14" customFormat="false" ht="15" hidden="false" customHeight="false" outlineLevel="0" collapsed="false">
      <c r="A14" s="6" t="s">
        <v>103</v>
      </c>
      <c r="B14" s="6" t="s">
        <v>22</v>
      </c>
      <c r="C14" s="6" t="s">
        <v>104</v>
      </c>
      <c r="D14" s="6" t="s">
        <v>105</v>
      </c>
      <c r="E14" s="6" t="s">
        <v>106</v>
      </c>
      <c r="F14" s="7" t="n">
        <v>750</v>
      </c>
      <c r="G14" s="7" t="n">
        <v>375</v>
      </c>
      <c r="H14" s="6" t="s">
        <v>107</v>
      </c>
      <c r="I14" s="7" t="n">
        <v>375</v>
      </c>
      <c r="J14" s="6" t="s">
        <v>108</v>
      </c>
      <c r="K14" s="13" t="s">
        <v>68</v>
      </c>
    </row>
    <row r="15" customFormat="false" ht="15" hidden="false" customHeight="false" outlineLevel="0" collapsed="false">
      <c r="A15" s="10" t="s">
        <v>109</v>
      </c>
      <c r="B15" s="10" t="s">
        <v>23</v>
      </c>
      <c r="C15" s="10" t="s">
        <v>110</v>
      </c>
      <c r="D15" s="10" t="s">
        <v>111</v>
      </c>
      <c r="E15" s="10" t="s">
        <v>112</v>
      </c>
      <c r="F15" s="11" t="n">
        <v>750</v>
      </c>
      <c r="G15" s="11" t="n">
        <v>0</v>
      </c>
      <c r="H15" s="10"/>
      <c r="I15" s="11" t="n">
        <v>750</v>
      </c>
      <c r="J15" s="10" t="s">
        <v>113</v>
      </c>
      <c r="K15" s="13" t="s">
        <v>68</v>
      </c>
    </row>
    <row r="16" customFormat="false" ht="15" hidden="false" customHeight="false" outlineLevel="0" collapsed="false">
      <c r="A16" s="6" t="s">
        <v>114</v>
      </c>
      <c r="B16" s="6" t="s">
        <v>11</v>
      </c>
      <c r="C16" s="6" t="s">
        <v>115</v>
      </c>
      <c r="D16" s="6" t="s">
        <v>116</v>
      </c>
      <c r="E16" s="6" t="s">
        <v>117</v>
      </c>
      <c r="F16" s="7" t="n">
        <v>1200</v>
      </c>
      <c r="G16" s="7" t="n">
        <v>600</v>
      </c>
      <c r="H16" s="6" t="s">
        <v>79</v>
      </c>
      <c r="I16" s="7" t="n">
        <v>600</v>
      </c>
      <c r="J16" s="6" t="s">
        <v>62</v>
      </c>
      <c r="K16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5" t="s">
        <v>118</v>
      </c>
      <c r="B1" s="5" t="s">
        <v>119</v>
      </c>
      <c r="C1" s="5" t="s">
        <v>120</v>
      </c>
      <c r="D1" s="5" t="s">
        <v>97</v>
      </c>
      <c r="E1" s="5" t="s">
        <v>121</v>
      </c>
      <c r="F1" s="5" t="s">
        <v>122</v>
      </c>
    </row>
    <row r="2" customFormat="false" ht="15" hidden="false" customHeight="false" outlineLevel="0" collapsed="false">
      <c r="A2" s="6" t="s">
        <v>123</v>
      </c>
      <c r="B2" s="6" t="s">
        <v>33</v>
      </c>
      <c r="C2" s="7" t="n">
        <v>5000</v>
      </c>
      <c r="D2" s="6" t="s">
        <v>124</v>
      </c>
      <c r="E2" s="6" t="s">
        <v>125</v>
      </c>
      <c r="F2" s="6" t="s">
        <v>126</v>
      </c>
    </row>
    <row r="3" customFormat="false" ht="15" hidden="false" customHeight="false" outlineLevel="0" collapsed="false">
      <c r="A3" s="10" t="s">
        <v>123</v>
      </c>
      <c r="B3" s="10" t="s">
        <v>69</v>
      </c>
      <c r="C3" s="11" t="n">
        <v>400</v>
      </c>
      <c r="D3" s="10" t="s">
        <v>124</v>
      </c>
      <c r="E3" s="10" t="s">
        <v>127</v>
      </c>
      <c r="F3" s="10" t="s">
        <v>126</v>
      </c>
    </row>
    <row r="4" customFormat="false" ht="15" hidden="false" customHeight="false" outlineLevel="0" collapsed="false">
      <c r="A4" s="6" t="s">
        <v>123</v>
      </c>
      <c r="B4" s="6" t="s">
        <v>92</v>
      </c>
      <c r="C4" s="7" t="n">
        <v>500</v>
      </c>
      <c r="D4" s="6" t="s">
        <v>124</v>
      </c>
      <c r="E4" s="6" t="s">
        <v>128</v>
      </c>
      <c r="F4" s="6" t="s">
        <v>129</v>
      </c>
    </row>
    <row r="5" customFormat="false" ht="15" hidden="false" customHeight="false" outlineLevel="0" collapsed="false">
      <c r="A5" s="10" t="s">
        <v>130</v>
      </c>
      <c r="B5" s="10" t="s">
        <v>40</v>
      </c>
      <c r="C5" s="11" t="n">
        <v>4500</v>
      </c>
      <c r="D5" s="10" t="s">
        <v>124</v>
      </c>
      <c r="E5" s="10" t="s">
        <v>131</v>
      </c>
      <c r="F5" s="10" t="s">
        <v>126</v>
      </c>
    </row>
    <row r="6" customFormat="false" ht="15" hidden="false" customHeight="false" outlineLevel="0" collapsed="false">
      <c r="A6" s="6" t="s">
        <v>130</v>
      </c>
      <c r="B6" s="6" t="s">
        <v>46</v>
      </c>
      <c r="C6" s="7" t="n">
        <v>2000</v>
      </c>
      <c r="D6" s="6" t="s">
        <v>124</v>
      </c>
      <c r="E6" s="6" t="s">
        <v>127</v>
      </c>
      <c r="F6" s="6" t="s">
        <v>126</v>
      </c>
    </row>
    <row r="7" customFormat="false" ht="15" hidden="false" customHeight="false" outlineLevel="0" collapsed="false">
      <c r="A7" s="10" t="s">
        <v>130</v>
      </c>
      <c r="B7" s="10" t="s">
        <v>52</v>
      </c>
      <c r="C7" s="11" t="n">
        <v>1750</v>
      </c>
      <c r="D7" s="10" t="s">
        <v>124</v>
      </c>
      <c r="E7" s="10" t="s">
        <v>125</v>
      </c>
      <c r="F7" s="10" t="s">
        <v>126</v>
      </c>
    </row>
    <row r="8" customFormat="false" ht="15" hidden="false" customHeight="false" outlineLevel="0" collapsed="false">
      <c r="A8" s="6" t="s">
        <v>130</v>
      </c>
      <c r="B8" s="6" t="s">
        <v>57</v>
      </c>
      <c r="C8" s="7" t="n">
        <v>1000</v>
      </c>
      <c r="D8" s="6" t="s">
        <v>124</v>
      </c>
      <c r="E8" s="6" t="s">
        <v>127</v>
      </c>
      <c r="F8" s="6" t="s">
        <v>126</v>
      </c>
    </row>
    <row r="9" customFormat="false" ht="15" hidden="false" customHeight="false" outlineLevel="0" collapsed="false">
      <c r="A9" s="10" t="s">
        <v>130</v>
      </c>
      <c r="B9" s="10" t="s">
        <v>80</v>
      </c>
      <c r="C9" s="11" t="n">
        <v>1000</v>
      </c>
      <c r="D9" s="10" t="s">
        <v>124</v>
      </c>
      <c r="E9" s="10" t="s">
        <v>125</v>
      </c>
      <c r="F9" s="10" t="s">
        <v>126</v>
      </c>
    </row>
    <row r="10" customFormat="false" ht="15" hidden="false" customHeight="false" outlineLevel="0" collapsed="false">
      <c r="A10" s="6" t="s">
        <v>132</v>
      </c>
      <c r="B10" s="6" t="s">
        <v>75</v>
      </c>
      <c r="C10" s="7" t="n">
        <v>600</v>
      </c>
      <c r="D10" s="6" t="s">
        <v>124</v>
      </c>
      <c r="E10" s="6" t="s">
        <v>127</v>
      </c>
      <c r="F10" s="6" t="s">
        <v>126</v>
      </c>
    </row>
    <row r="11" customFormat="false" ht="15" hidden="false" customHeight="false" outlineLevel="0" collapsed="false">
      <c r="A11" s="10" t="s">
        <v>132</v>
      </c>
      <c r="B11" s="10" t="s">
        <v>86</v>
      </c>
      <c r="C11" s="11" t="n">
        <v>500</v>
      </c>
      <c r="D11" s="10" t="s">
        <v>124</v>
      </c>
      <c r="E11" s="10" t="s">
        <v>125</v>
      </c>
      <c r="F11" s="10" t="s">
        <v>126</v>
      </c>
    </row>
    <row r="12" customFormat="false" ht="15" hidden="false" customHeight="false" outlineLevel="0" collapsed="false">
      <c r="A12" s="6" t="s">
        <v>132</v>
      </c>
      <c r="B12" s="6" t="s">
        <v>98</v>
      </c>
      <c r="C12" s="7" t="n">
        <v>750</v>
      </c>
      <c r="D12" s="6" t="s">
        <v>124</v>
      </c>
      <c r="E12" s="6" t="s">
        <v>127</v>
      </c>
      <c r="F12" s="6" t="s">
        <v>126</v>
      </c>
    </row>
    <row r="13" customFormat="false" ht="15" hidden="false" customHeight="false" outlineLevel="0" collapsed="false">
      <c r="A13" s="10" t="s">
        <v>132</v>
      </c>
      <c r="B13" s="10" t="s">
        <v>114</v>
      </c>
      <c r="C13" s="11" t="n">
        <v>600</v>
      </c>
      <c r="D13" s="10" t="s">
        <v>124</v>
      </c>
      <c r="E13" s="10" t="s">
        <v>125</v>
      </c>
      <c r="F13" s="10" t="s">
        <v>126</v>
      </c>
    </row>
    <row r="14" customFormat="false" ht="15" hidden="false" customHeight="false" outlineLevel="0" collapsed="false">
      <c r="A14" s="6" t="s">
        <v>133</v>
      </c>
      <c r="B14" s="6" t="s">
        <v>103</v>
      </c>
      <c r="C14" s="7" t="n">
        <v>375</v>
      </c>
      <c r="D14" s="6" t="s">
        <v>134</v>
      </c>
      <c r="E14" s="6" t="s">
        <v>125</v>
      </c>
      <c r="F14" s="6" t="s">
        <v>126</v>
      </c>
    </row>
    <row r="15" customFormat="false" ht="15" hidden="false" customHeight="false" outlineLevel="0" collapsed="false">
      <c r="A15" s="10" t="s">
        <v>135</v>
      </c>
      <c r="B15" s="10" t="s">
        <v>33</v>
      </c>
      <c r="C15" s="11" t="n">
        <v>5000</v>
      </c>
      <c r="D15" s="10" t="s">
        <v>134</v>
      </c>
      <c r="E15" s="10" t="s">
        <v>125</v>
      </c>
      <c r="F15" s="10" t="s">
        <v>136</v>
      </c>
    </row>
    <row r="16" customFormat="false" ht="15" hidden="false" customHeight="false" outlineLevel="0" collapsed="false">
      <c r="A16" s="6" t="s">
        <v>137</v>
      </c>
      <c r="B16" s="6" t="s">
        <v>69</v>
      </c>
      <c r="C16" s="7" t="n">
        <v>400</v>
      </c>
      <c r="D16" s="6" t="s">
        <v>134</v>
      </c>
      <c r="E16" s="6" t="s">
        <v>127</v>
      </c>
      <c r="F16" s="6" t="s">
        <v>138</v>
      </c>
    </row>
    <row r="17" customFormat="false" ht="15" hidden="false" customHeight="false" outlineLevel="0" collapsed="false">
      <c r="A17" s="10" t="s">
        <v>139</v>
      </c>
      <c r="B17" s="10" t="s">
        <v>63</v>
      </c>
      <c r="C17" s="11" t="n">
        <v>1500</v>
      </c>
      <c r="D17" s="10" t="s">
        <v>134</v>
      </c>
      <c r="E17" s="10" t="s">
        <v>127</v>
      </c>
      <c r="F17" s="10" t="s">
        <v>140</v>
      </c>
    </row>
    <row r="18" customFormat="false" ht="15" hidden="false" customHeight="false" outlineLevel="0" collapsed="false">
      <c r="A18" s="6" t="s">
        <v>141</v>
      </c>
      <c r="B18" s="6" t="s">
        <v>33</v>
      </c>
      <c r="C18" s="7" t="n">
        <v>5000</v>
      </c>
      <c r="D18" s="6" t="s">
        <v>134</v>
      </c>
      <c r="E18" s="6" t="s">
        <v>125</v>
      </c>
      <c r="F18" s="6" t="s">
        <v>138</v>
      </c>
    </row>
    <row r="19" customFormat="false" ht="15" hidden="false" customHeight="false" outlineLevel="0" collapsed="false">
      <c r="A19" s="10" t="s">
        <v>141</v>
      </c>
      <c r="B19" s="10" t="s">
        <v>63</v>
      </c>
      <c r="C19" s="11" t="n">
        <v>1500</v>
      </c>
      <c r="D19" s="10" t="s">
        <v>134</v>
      </c>
      <c r="E19" s="10" t="s">
        <v>127</v>
      </c>
      <c r="F19" s="10" t="s">
        <v>138</v>
      </c>
    </row>
    <row r="20" customFormat="false" ht="15" hidden="false" customHeight="false" outlineLevel="0" collapsed="false">
      <c r="A20" s="6" t="s">
        <v>142</v>
      </c>
      <c r="B20" s="6" t="s">
        <v>40</v>
      </c>
      <c r="C20" s="7" t="n">
        <v>4500</v>
      </c>
      <c r="D20" s="6" t="s">
        <v>134</v>
      </c>
      <c r="E20" s="6" t="s">
        <v>131</v>
      </c>
      <c r="F20" s="6" t="s">
        <v>138</v>
      </c>
    </row>
    <row r="21" customFormat="false" ht="15" hidden="false" customHeight="false" outlineLevel="0" collapsed="false">
      <c r="A21" s="10" t="s">
        <v>142</v>
      </c>
      <c r="B21" s="10" t="s">
        <v>109</v>
      </c>
      <c r="C21" s="11" t="n">
        <v>750</v>
      </c>
      <c r="D21" s="10" t="s">
        <v>134</v>
      </c>
      <c r="E21" s="10" t="s">
        <v>125</v>
      </c>
      <c r="F21" s="10" t="s">
        <v>129</v>
      </c>
    </row>
    <row r="22" customFormat="false" ht="15" hidden="false" customHeight="false" outlineLevel="0" collapsed="false">
      <c r="A22" s="6" t="s">
        <v>142</v>
      </c>
      <c r="B22" s="6" t="s">
        <v>114</v>
      </c>
      <c r="C22" s="7" t="n">
        <v>600</v>
      </c>
      <c r="D22" s="6" t="s">
        <v>134</v>
      </c>
      <c r="E22" s="6" t="s">
        <v>125</v>
      </c>
      <c r="F22" s="6" t="s">
        <v>138</v>
      </c>
    </row>
    <row r="23" customFormat="false" ht="15" hidden="false" customHeight="false" outlineLevel="0" collapsed="false">
      <c r="A23" s="10" t="s">
        <v>142</v>
      </c>
      <c r="B23" s="10" t="s">
        <v>57</v>
      </c>
      <c r="C23" s="11" t="n">
        <v>1000</v>
      </c>
      <c r="D23" s="10" t="s">
        <v>134</v>
      </c>
      <c r="E23" s="10" t="s">
        <v>127</v>
      </c>
      <c r="F23" s="10" t="s">
        <v>138</v>
      </c>
    </row>
    <row r="24" customFormat="false" ht="15" hidden="false" customHeight="false" outlineLevel="0" collapsed="false">
      <c r="A24" s="6" t="s">
        <v>142</v>
      </c>
      <c r="B24" s="6" t="s">
        <v>75</v>
      </c>
      <c r="C24" s="7" t="n">
        <v>600</v>
      </c>
      <c r="D24" s="6" t="s">
        <v>134</v>
      </c>
      <c r="E24" s="6" t="s">
        <v>127</v>
      </c>
      <c r="F24" s="6" t="s">
        <v>138</v>
      </c>
    </row>
    <row r="25" customFormat="false" ht="15" hidden="false" customHeight="false" outlineLevel="0" collapsed="false">
      <c r="A25" s="10" t="s">
        <v>142</v>
      </c>
      <c r="B25" s="10" t="s">
        <v>52</v>
      </c>
      <c r="C25" s="11" t="n">
        <v>1750</v>
      </c>
      <c r="D25" s="10" t="s">
        <v>134</v>
      </c>
      <c r="E25" s="10" t="s">
        <v>125</v>
      </c>
      <c r="F25" s="10" t="s">
        <v>138</v>
      </c>
    </row>
    <row r="26" customFormat="false" ht="15" hidden="false" customHeight="false" outlineLevel="0" collapsed="false">
      <c r="A26" s="6" t="s">
        <v>143</v>
      </c>
      <c r="B26" s="6" t="s">
        <v>46</v>
      </c>
      <c r="C26" s="7" t="n">
        <v>2000</v>
      </c>
      <c r="D26" s="6" t="s">
        <v>134</v>
      </c>
      <c r="E26" s="6" t="s">
        <v>127</v>
      </c>
      <c r="F26" s="6" t="s">
        <v>138</v>
      </c>
    </row>
    <row r="27" customFormat="false" ht="15" hidden="false" customHeight="false" outlineLevel="0" collapsed="false">
      <c r="A27" s="10" t="s">
        <v>143</v>
      </c>
      <c r="B27" s="10" t="s">
        <v>80</v>
      </c>
      <c r="C27" s="11" t="n">
        <v>1000</v>
      </c>
      <c r="D27" s="10" t="s">
        <v>134</v>
      </c>
      <c r="E27" s="10" t="s">
        <v>125</v>
      </c>
      <c r="F27" s="10" t="s">
        <v>138</v>
      </c>
    </row>
    <row r="28" customFormat="false" ht="15" hidden="false" customHeight="false" outlineLevel="0" collapsed="false">
      <c r="A28" s="6" t="s">
        <v>143</v>
      </c>
      <c r="B28" s="6" t="s">
        <v>86</v>
      </c>
      <c r="C28" s="7" t="n">
        <v>500</v>
      </c>
      <c r="D28" s="6" t="s">
        <v>134</v>
      </c>
      <c r="E28" s="6" t="s">
        <v>125</v>
      </c>
      <c r="F28" s="6" t="s">
        <v>138</v>
      </c>
    </row>
    <row r="29" customFormat="false" ht="15" hidden="false" customHeight="false" outlineLevel="0" collapsed="false">
      <c r="A29" s="10" t="s">
        <v>143</v>
      </c>
      <c r="B29" s="10" t="s">
        <v>98</v>
      </c>
      <c r="C29" s="11" t="n">
        <v>750</v>
      </c>
      <c r="D29" s="10" t="s">
        <v>134</v>
      </c>
      <c r="E29" s="10" t="s">
        <v>127</v>
      </c>
      <c r="F29" s="10" t="s">
        <v>138</v>
      </c>
    </row>
    <row r="31" customFormat="false" ht="15" hidden="false" customHeight="false" outlineLevel="0" collapsed="false">
      <c r="A31" s="2" t="s">
        <v>144</v>
      </c>
      <c r="C31" s="3" t="n">
        <f aca="false">SUM(C2:C29)</f>
        <v>45825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6" min="3" style="0" width="14"/>
  </cols>
  <sheetData>
    <row r="1" customFormat="false" ht="15" hidden="false" customHeight="false" outlineLevel="0" collapsed="false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</row>
    <row r="2" customFormat="false" ht="15" hidden="false" customHeight="false" outlineLevel="0" collapsed="false">
      <c r="A2" s="6" t="s">
        <v>151</v>
      </c>
      <c r="B2" s="6" t="n">
        <v>2</v>
      </c>
      <c r="C2" s="6" t="s">
        <v>152</v>
      </c>
      <c r="D2" s="6" t="s">
        <v>153</v>
      </c>
      <c r="E2" s="6" t="n">
        <v>1</v>
      </c>
      <c r="F2" s="6" t="s">
        <v>124</v>
      </c>
    </row>
    <row r="3" customFormat="false" ht="15" hidden="false" customHeight="false" outlineLevel="0" collapsed="false">
      <c r="A3" s="10" t="s">
        <v>154</v>
      </c>
      <c r="B3" s="10" t="n">
        <v>1</v>
      </c>
      <c r="C3" s="10" t="s">
        <v>152</v>
      </c>
      <c r="D3" s="10" t="s">
        <v>155</v>
      </c>
      <c r="E3" s="10" t="n">
        <v>1</v>
      </c>
      <c r="F3" s="10" t="s">
        <v>124</v>
      </c>
    </row>
    <row r="4" customFormat="false" ht="15" hidden="false" customHeight="false" outlineLevel="0" collapsed="false">
      <c r="A4" s="6" t="s">
        <v>156</v>
      </c>
      <c r="B4" s="6" t="n">
        <v>3</v>
      </c>
      <c r="C4" s="6" t="s">
        <v>152</v>
      </c>
      <c r="D4" s="6" t="s">
        <v>157</v>
      </c>
      <c r="E4" s="6" t="n">
        <v>2</v>
      </c>
      <c r="F4" s="6" t="s">
        <v>134</v>
      </c>
    </row>
    <row r="5" customFormat="false" ht="15" hidden="false" customHeight="false" outlineLevel="0" collapsed="false">
      <c r="A5" s="10" t="s">
        <v>158</v>
      </c>
      <c r="B5" s="10" t="n">
        <v>1</v>
      </c>
      <c r="C5" s="10" t="s">
        <v>152</v>
      </c>
      <c r="D5" s="10" t="s">
        <v>153</v>
      </c>
      <c r="E5" s="10" t="n">
        <v>2</v>
      </c>
      <c r="F5" s="10" t="s">
        <v>124</v>
      </c>
    </row>
    <row r="6" customFormat="false" ht="15" hidden="false" customHeight="false" outlineLevel="0" collapsed="false">
      <c r="A6" s="6" t="s">
        <v>159</v>
      </c>
      <c r="B6" s="6" t="n">
        <v>2</v>
      </c>
      <c r="C6" s="6" t="s">
        <v>152</v>
      </c>
      <c r="D6" s="6" t="s">
        <v>155</v>
      </c>
      <c r="E6" s="6" t="n">
        <v>3</v>
      </c>
      <c r="F6" s="6" t="s">
        <v>124</v>
      </c>
    </row>
    <row r="7" customFormat="false" ht="15" hidden="false" customHeight="false" outlineLevel="0" collapsed="false">
      <c r="A7" s="10" t="s">
        <v>160</v>
      </c>
      <c r="B7" s="10" t="n">
        <v>1</v>
      </c>
      <c r="C7" s="10" t="s">
        <v>152</v>
      </c>
      <c r="D7" s="10" t="s">
        <v>161</v>
      </c>
      <c r="E7" s="10" t="n">
        <v>3</v>
      </c>
      <c r="F7" s="10" t="s">
        <v>134</v>
      </c>
    </row>
    <row r="8" customFormat="false" ht="15" hidden="false" customHeight="false" outlineLevel="0" collapsed="false">
      <c r="A8" s="6" t="s">
        <v>162</v>
      </c>
      <c r="B8" s="6" t="n">
        <v>4</v>
      </c>
      <c r="C8" s="6" t="s">
        <v>152</v>
      </c>
      <c r="D8" s="6" t="s">
        <v>153</v>
      </c>
      <c r="E8" s="6" t="n">
        <v>4</v>
      </c>
      <c r="F8" s="6" t="s">
        <v>124</v>
      </c>
    </row>
    <row r="9" customFormat="false" ht="15" hidden="false" customHeight="false" outlineLevel="0" collapsed="false">
      <c r="A9" s="10" t="s">
        <v>163</v>
      </c>
      <c r="B9" s="10" t="n">
        <v>1</v>
      </c>
      <c r="C9" s="10" t="s">
        <v>152</v>
      </c>
      <c r="D9" s="10" t="s">
        <v>155</v>
      </c>
      <c r="E9" s="10" t="n">
        <v>4</v>
      </c>
      <c r="F9" s="10" t="s">
        <v>124</v>
      </c>
    </row>
    <row r="10" customFormat="false" ht="15" hidden="false" customHeight="false" outlineLevel="0" collapsed="false">
      <c r="A10" s="6" t="s">
        <v>164</v>
      </c>
      <c r="B10" s="6" t="n">
        <v>2</v>
      </c>
      <c r="C10" s="6" t="s">
        <v>68</v>
      </c>
      <c r="D10" s="6"/>
      <c r="E10" s="6" t="n">
        <v>5</v>
      </c>
      <c r="F10" s="6" t="s">
        <v>134</v>
      </c>
    </row>
    <row r="11" customFormat="false" ht="15" hidden="false" customHeight="false" outlineLevel="0" collapsed="false">
      <c r="A11" s="10" t="s">
        <v>165</v>
      </c>
      <c r="B11" s="10" t="n">
        <v>1</v>
      </c>
      <c r="C11" s="10" t="s">
        <v>166</v>
      </c>
      <c r="D11" s="10"/>
      <c r="E11" s="10"/>
      <c r="F11" s="10" t="s">
        <v>134</v>
      </c>
    </row>
    <row r="12" customFormat="false" ht="15" hidden="false" customHeight="false" outlineLevel="0" collapsed="false">
      <c r="A12" s="6" t="s">
        <v>167</v>
      </c>
      <c r="B12" s="6" t="n">
        <v>3</v>
      </c>
      <c r="C12" s="6" t="s">
        <v>152</v>
      </c>
      <c r="D12" s="6" t="s">
        <v>157</v>
      </c>
      <c r="E12" s="6" t="n">
        <v>6</v>
      </c>
      <c r="F12" s="6" t="s">
        <v>124</v>
      </c>
    </row>
    <row r="13" customFormat="false" ht="15" hidden="false" customHeight="false" outlineLevel="0" collapsed="false">
      <c r="A13" s="10" t="s">
        <v>168</v>
      </c>
      <c r="B13" s="10" t="n">
        <v>1</v>
      </c>
      <c r="C13" s="10" t="s">
        <v>152</v>
      </c>
      <c r="D13" s="10" t="s">
        <v>161</v>
      </c>
      <c r="E13" s="10" t="n">
        <v>6</v>
      </c>
      <c r="F13" s="10" t="s">
        <v>124</v>
      </c>
    </row>
    <row r="14" customFormat="false" ht="15" hidden="false" customHeight="false" outlineLevel="0" collapsed="false">
      <c r="A14" s="6" t="s">
        <v>169</v>
      </c>
      <c r="B14" s="6" t="n">
        <v>2</v>
      </c>
      <c r="C14" s="6" t="s">
        <v>152</v>
      </c>
      <c r="D14" s="6" t="s">
        <v>155</v>
      </c>
      <c r="E14" s="6" t="n">
        <v>7</v>
      </c>
      <c r="F14" s="6" t="s">
        <v>124</v>
      </c>
    </row>
    <row r="15" customFormat="false" ht="15" hidden="false" customHeight="false" outlineLevel="0" collapsed="false">
      <c r="A15" s="10" t="s">
        <v>170</v>
      </c>
      <c r="B15" s="10" t="n">
        <v>1</v>
      </c>
      <c r="C15" s="10" t="s">
        <v>152</v>
      </c>
      <c r="D15" s="10" t="s">
        <v>153</v>
      </c>
      <c r="E15" s="10" t="n">
        <v>7</v>
      </c>
      <c r="F15" s="10" t="s">
        <v>134</v>
      </c>
    </row>
    <row r="16" customFormat="false" ht="15" hidden="false" customHeight="false" outlineLevel="0" collapsed="false">
      <c r="A16" s="6" t="s">
        <v>171</v>
      </c>
      <c r="B16" s="6" t="n">
        <v>2</v>
      </c>
      <c r="C16" s="6" t="s">
        <v>68</v>
      </c>
      <c r="D16" s="6"/>
      <c r="E16" s="6" t="n">
        <v>8</v>
      </c>
      <c r="F16" s="6" t="s">
        <v>134</v>
      </c>
    </row>
    <row r="17" customFormat="false" ht="15" hidden="false" customHeight="false" outlineLevel="0" collapsed="false">
      <c r="A17" s="10" t="s">
        <v>172</v>
      </c>
      <c r="B17" s="10" t="n">
        <v>1</v>
      </c>
      <c r="C17" s="10" t="s">
        <v>152</v>
      </c>
      <c r="D17" s="10" t="s">
        <v>153</v>
      </c>
      <c r="E17" s="10" t="n">
        <v>8</v>
      </c>
      <c r="F17" s="10" t="s">
        <v>124</v>
      </c>
    </row>
    <row r="18" customFormat="false" ht="15" hidden="false" customHeight="false" outlineLevel="0" collapsed="false">
      <c r="A18" s="6" t="s">
        <v>173</v>
      </c>
      <c r="B18" s="6" t="n">
        <v>3</v>
      </c>
      <c r="C18" s="6" t="s">
        <v>152</v>
      </c>
      <c r="D18" s="6" t="s">
        <v>161</v>
      </c>
      <c r="E18" s="6" t="n">
        <v>9</v>
      </c>
      <c r="F18" s="6" t="s">
        <v>124</v>
      </c>
    </row>
    <row r="19" customFormat="false" ht="15" hidden="false" customHeight="false" outlineLevel="0" collapsed="false">
      <c r="A19" s="10" t="s">
        <v>174</v>
      </c>
      <c r="B19" s="10" t="n">
        <v>1</v>
      </c>
      <c r="C19" s="10" t="s">
        <v>152</v>
      </c>
      <c r="D19" s="10" t="s">
        <v>157</v>
      </c>
      <c r="E19" s="10" t="n">
        <v>9</v>
      </c>
      <c r="F19" s="10" t="s">
        <v>124</v>
      </c>
    </row>
    <row r="20" customFormat="false" ht="15" hidden="false" customHeight="false" outlineLevel="0" collapsed="false">
      <c r="A20" s="6" t="s">
        <v>175</v>
      </c>
      <c r="B20" s="6" t="n">
        <v>2</v>
      </c>
      <c r="C20" s="6" t="s">
        <v>152</v>
      </c>
      <c r="D20" s="6" t="s">
        <v>153</v>
      </c>
      <c r="E20" s="6" t="n">
        <v>10</v>
      </c>
      <c r="F20" s="6" t="s">
        <v>124</v>
      </c>
    </row>
    <row r="21" customFormat="false" ht="15" hidden="false" customHeight="false" outlineLevel="0" collapsed="false">
      <c r="A21" s="10" t="s">
        <v>176</v>
      </c>
      <c r="B21" s="10" t="n">
        <v>1</v>
      </c>
      <c r="C21" s="10" t="s">
        <v>152</v>
      </c>
      <c r="D21" s="10" t="s">
        <v>155</v>
      </c>
      <c r="E21" s="10" t="n">
        <v>10</v>
      </c>
      <c r="F21" s="10" t="s">
        <v>124</v>
      </c>
    </row>
    <row r="22" customFormat="false" ht="15" hidden="false" customHeight="false" outlineLevel="0" collapsed="false">
      <c r="A22" s="6" t="s">
        <v>177</v>
      </c>
      <c r="B22" s="6" t="n">
        <v>2</v>
      </c>
      <c r="C22" s="6" t="s">
        <v>152</v>
      </c>
      <c r="D22" s="6" t="s">
        <v>155</v>
      </c>
      <c r="E22" s="6" t="n">
        <v>11</v>
      </c>
      <c r="F22" s="6" t="s">
        <v>134</v>
      </c>
    </row>
    <row r="23" customFormat="false" ht="15" hidden="false" customHeight="false" outlineLevel="0" collapsed="false">
      <c r="A23" s="10" t="s">
        <v>178</v>
      </c>
      <c r="B23" s="10" t="n">
        <v>1</v>
      </c>
      <c r="C23" s="10" t="s">
        <v>152</v>
      </c>
      <c r="D23" s="10" t="s">
        <v>153</v>
      </c>
      <c r="E23" s="10" t="n">
        <v>11</v>
      </c>
      <c r="F23" s="10" t="s">
        <v>124</v>
      </c>
    </row>
    <row r="24" customFormat="false" ht="15" hidden="false" customHeight="false" outlineLevel="0" collapsed="false">
      <c r="A24" s="6" t="s">
        <v>179</v>
      </c>
      <c r="B24" s="6" t="n">
        <v>3</v>
      </c>
      <c r="C24" s="6" t="s">
        <v>68</v>
      </c>
      <c r="D24" s="6"/>
      <c r="E24" s="6" t="n">
        <v>12</v>
      </c>
      <c r="F24" s="6" t="s">
        <v>134</v>
      </c>
    </row>
    <row r="25" customFormat="false" ht="15" hidden="false" customHeight="false" outlineLevel="0" collapsed="false">
      <c r="A25" s="10" t="s">
        <v>180</v>
      </c>
      <c r="B25" s="10" t="n">
        <v>1</v>
      </c>
      <c r="C25" s="10" t="s">
        <v>152</v>
      </c>
      <c r="D25" s="10" t="s">
        <v>161</v>
      </c>
      <c r="E25" s="10" t="n">
        <v>12</v>
      </c>
      <c r="F25" s="10" t="s">
        <v>124</v>
      </c>
    </row>
    <row r="26" customFormat="false" ht="15" hidden="false" customHeight="false" outlineLevel="0" collapsed="false">
      <c r="A26" s="6" t="s">
        <v>181</v>
      </c>
      <c r="B26" s="6" t="n">
        <v>2</v>
      </c>
      <c r="C26" s="6" t="s">
        <v>152</v>
      </c>
      <c r="D26" s="6" t="s">
        <v>153</v>
      </c>
      <c r="E26" s="6" t="n">
        <v>1</v>
      </c>
      <c r="F26" s="6" t="s">
        <v>124</v>
      </c>
    </row>
    <row r="27" customFormat="false" ht="15" hidden="false" customHeight="false" outlineLevel="0" collapsed="false">
      <c r="A27" s="10" t="s">
        <v>182</v>
      </c>
      <c r="B27" s="10" t="n">
        <v>1</v>
      </c>
      <c r="C27" s="10" t="s">
        <v>152</v>
      </c>
      <c r="D27" s="10" t="s">
        <v>155</v>
      </c>
      <c r="E27" s="10" t="n">
        <v>1</v>
      </c>
      <c r="F27" s="10" t="s">
        <v>124</v>
      </c>
    </row>
    <row r="28" customFormat="false" ht="15" hidden="false" customHeight="false" outlineLevel="0" collapsed="false">
      <c r="A28" s="6" t="s">
        <v>183</v>
      </c>
      <c r="B28" s="6" t="n">
        <v>2</v>
      </c>
      <c r="C28" s="6" t="s">
        <v>152</v>
      </c>
      <c r="D28" s="6" t="s">
        <v>161</v>
      </c>
      <c r="E28" s="6" t="n">
        <v>13</v>
      </c>
      <c r="F28" s="6" t="s">
        <v>124</v>
      </c>
    </row>
    <row r="29" customFormat="false" ht="15" hidden="false" customHeight="false" outlineLevel="0" collapsed="false">
      <c r="A29" s="10" t="s">
        <v>184</v>
      </c>
      <c r="B29" s="10" t="n">
        <v>1</v>
      </c>
      <c r="C29" s="10" t="s">
        <v>152</v>
      </c>
      <c r="D29" s="10" t="s">
        <v>153</v>
      </c>
      <c r="E29" s="10" t="n">
        <v>13</v>
      </c>
      <c r="F29" s="10" t="s">
        <v>134</v>
      </c>
    </row>
    <row r="30" customFormat="false" ht="15" hidden="false" customHeight="false" outlineLevel="0" collapsed="false">
      <c r="A30" s="6" t="s">
        <v>185</v>
      </c>
      <c r="B30" s="6" t="n">
        <v>3</v>
      </c>
      <c r="C30" s="6" t="s">
        <v>152</v>
      </c>
      <c r="D30" s="6" t="s">
        <v>157</v>
      </c>
      <c r="E30" s="6" t="n">
        <v>14</v>
      </c>
      <c r="F30" s="6" t="s">
        <v>124</v>
      </c>
    </row>
    <row r="31" customFormat="false" ht="15" hidden="false" customHeight="false" outlineLevel="0" collapsed="false">
      <c r="A31" s="10" t="s">
        <v>186</v>
      </c>
      <c r="B31" s="10" t="n">
        <v>1</v>
      </c>
      <c r="C31" s="10" t="s">
        <v>152</v>
      </c>
      <c r="D31" s="10" t="s">
        <v>155</v>
      </c>
      <c r="E31" s="10" t="n">
        <v>14</v>
      </c>
      <c r="F31" s="10" t="s">
        <v>124</v>
      </c>
    </row>
    <row r="32" customFormat="false" ht="15" hidden="false" customHeight="false" outlineLevel="0" collapsed="false">
      <c r="A32" s="6" t="s">
        <v>187</v>
      </c>
      <c r="B32" s="6" t="n">
        <v>2</v>
      </c>
      <c r="C32" s="6" t="s">
        <v>166</v>
      </c>
      <c r="D32" s="6"/>
      <c r="E32" s="6"/>
      <c r="F32" s="6" t="s">
        <v>134</v>
      </c>
    </row>
    <row r="33" customFormat="false" ht="15" hidden="false" customHeight="false" outlineLevel="0" collapsed="false">
      <c r="A33" s="10" t="s">
        <v>188</v>
      </c>
      <c r="B33" s="10" t="n">
        <v>1</v>
      </c>
      <c r="C33" s="10" t="s">
        <v>152</v>
      </c>
      <c r="D33" s="10" t="s">
        <v>153</v>
      </c>
      <c r="E33" s="10" t="n">
        <v>15</v>
      </c>
      <c r="F33" s="10" t="s">
        <v>124</v>
      </c>
    </row>
    <row r="34" customFormat="false" ht="15" hidden="false" customHeight="false" outlineLevel="0" collapsed="false">
      <c r="A34" s="6" t="s">
        <v>189</v>
      </c>
      <c r="B34" s="6" t="n">
        <v>2</v>
      </c>
      <c r="C34" s="6" t="s">
        <v>152</v>
      </c>
      <c r="D34" s="6" t="s">
        <v>161</v>
      </c>
      <c r="E34" s="6" t="n">
        <v>2</v>
      </c>
      <c r="F34" s="6" t="s">
        <v>124</v>
      </c>
    </row>
    <row r="35" customFormat="false" ht="15" hidden="false" customHeight="false" outlineLevel="0" collapsed="false">
      <c r="A35" s="10" t="s">
        <v>190</v>
      </c>
      <c r="B35" s="10" t="n">
        <v>1</v>
      </c>
      <c r="C35" s="10" t="s">
        <v>152</v>
      </c>
      <c r="D35" s="10" t="s">
        <v>155</v>
      </c>
      <c r="E35" s="10" t="n">
        <v>2</v>
      </c>
      <c r="F35" s="10" t="s">
        <v>124</v>
      </c>
    </row>
    <row r="36" customFormat="false" ht="15" hidden="false" customHeight="false" outlineLevel="0" collapsed="false">
      <c r="A36" s="6" t="s">
        <v>191</v>
      </c>
      <c r="B36" s="6" t="n">
        <v>3</v>
      </c>
      <c r="C36" s="6" t="s">
        <v>68</v>
      </c>
      <c r="D36" s="6"/>
      <c r="E36" s="6" t="n">
        <v>16</v>
      </c>
      <c r="F36" s="6" t="s">
        <v>134</v>
      </c>
    </row>
    <row r="37" customFormat="false" ht="15" hidden="false" customHeight="false" outlineLevel="0" collapsed="false">
      <c r="A37" s="10" t="s">
        <v>192</v>
      </c>
      <c r="B37" s="10" t="n">
        <v>1</v>
      </c>
      <c r="C37" s="10" t="s">
        <v>152</v>
      </c>
      <c r="D37" s="10" t="s">
        <v>157</v>
      </c>
      <c r="E37" s="10" t="n">
        <v>16</v>
      </c>
      <c r="F37" s="10" t="s">
        <v>124</v>
      </c>
    </row>
    <row r="38" customFormat="false" ht="15" hidden="false" customHeight="false" outlineLevel="0" collapsed="false">
      <c r="A38" s="6" t="s">
        <v>193</v>
      </c>
      <c r="B38" s="6" t="n">
        <v>2</v>
      </c>
      <c r="C38" s="6" t="s">
        <v>152</v>
      </c>
      <c r="D38" s="6" t="s">
        <v>155</v>
      </c>
      <c r="E38" s="6" t="n">
        <v>3</v>
      </c>
      <c r="F38" s="6" t="s">
        <v>124</v>
      </c>
    </row>
    <row r="39" customFormat="false" ht="15" hidden="false" customHeight="false" outlineLevel="0" collapsed="false">
      <c r="A39" s="10" t="s">
        <v>194</v>
      </c>
      <c r="B39" s="10" t="n">
        <v>1</v>
      </c>
      <c r="C39" s="10" t="s">
        <v>152</v>
      </c>
      <c r="D39" s="10" t="s">
        <v>161</v>
      </c>
      <c r="E39" s="10" t="n">
        <v>3</v>
      </c>
      <c r="F39" s="10" t="s">
        <v>124</v>
      </c>
    </row>
    <row r="40" customFormat="false" ht="15" hidden="false" customHeight="false" outlineLevel="0" collapsed="false">
      <c r="A40" s="6" t="s">
        <v>195</v>
      </c>
      <c r="B40" s="6" t="n">
        <v>2</v>
      </c>
      <c r="C40" s="6" t="s">
        <v>152</v>
      </c>
      <c r="D40" s="6" t="s">
        <v>153</v>
      </c>
      <c r="E40" s="6" t="n">
        <v>4</v>
      </c>
      <c r="F40" s="6" t="s">
        <v>134</v>
      </c>
    </row>
    <row r="41" customFormat="false" ht="15" hidden="false" customHeight="false" outlineLevel="0" collapsed="false">
      <c r="A41" s="10" t="s">
        <v>196</v>
      </c>
      <c r="B41" s="10" t="n">
        <v>1</v>
      </c>
      <c r="C41" s="10" t="s">
        <v>152</v>
      </c>
      <c r="D41" s="10" t="s">
        <v>155</v>
      </c>
      <c r="E41" s="10" t="n">
        <v>4</v>
      </c>
      <c r="F41" s="10" t="s">
        <v>124</v>
      </c>
    </row>
    <row r="42" customFormat="false" ht="15" hidden="false" customHeight="false" outlineLevel="0" collapsed="false">
      <c r="A42" s="6" t="s">
        <v>197</v>
      </c>
      <c r="B42" s="6" t="n">
        <v>3</v>
      </c>
      <c r="C42" s="6" t="s">
        <v>152</v>
      </c>
      <c r="D42" s="6" t="s">
        <v>157</v>
      </c>
      <c r="E42" s="6" t="n">
        <v>5</v>
      </c>
      <c r="F42" s="6" t="s">
        <v>124</v>
      </c>
    </row>
    <row r="43" customFormat="false" ht="15" hidden="false" customHeight="false" outlineLevel="0" collapsed="false">
      <c r="A43" s="10" t="s">
        <v>198</v>
      </c>
      <c r="B43" s="10" t="n">
        <v>1</v>
      </c>
      <c r="C43" s="10" t="s">
        <v>152</v>
      </c>
      <c r="D43" s="10" t="s">
        <v>153</v>
      </c>
      <c r="E43" s="10" t="n">
        <v>5</v>
      </c>
      <c r="F43" s="10" t="s">
        <v>124</v>
      </c>
    </row>
    <row r="44" customFormat="false" ht="15" hidden="false" customHeight="false" outlineLevel="0" collapsed="false">
      <c r="A44" s="6" t="s">
        <v>199</v>
      </c>
      <c r="B44" s="6" t="n">
        <v>2</v>
      </c>
      <c r="C44" s="6" t="s">
        <v>68</v>
      </c>
      <c r="D44" s="6"/>
      <c r="E44" s="6" t="n">
        <v>17</v>
      </c>
      <c r="F44" s="6" t="s">
        <v>134</v>
      </c>
    </row>
    <row r="45" customFormat="false" ht="15" hidden="false" customHeight="false" outlineLevel="0" collapsed="false">
      <c r="A45" s="10" t="s">
        <v>200</v>
      </c>
      <c r="B45" s="10" t="n">
        <v>1</v>
      </c>
      <c r="C45" s="10" t="s">
        <v>152</v>
      </c>
      <c r="D45" s="10" t="s">
        <v>161</v>
      </c>
      <c r="E45" s="10" t="n">
        <v>17</v>
      </c>
      <c r="F45" s="10" t="s">
        <v>124</v>
      </c>
    </row>
    <row r="46" customFormat="false" ht="15" hidden="false" customHeight="false" outlineLevel="0" collapsed="false">
      <c r="A46" s="6" t="s">
        <v>201</v>
      </c>
      <c r="B46" s="6" t="n">
        <v>2</v>
      </c>
      <c r="C46" s="6" t="s">
        <v>152</v>
      </c>
      <c r="D46" s="6" t="s">
        <v>153</v>
      </c>
      <c r="E46" s="6" t="n">
        <v>6</v>
      </c>
      <c r="F46" s="6" t="s">
        <v>124</v>
      </c>
    </row>
    <row r="47" customFormat="false" ht="15" hidden="false" customHeight="false" outlineLevel="0" collapsed="false">
      <c r="A47" s="10" t="s">
        <v>202</v>
      </c>
      <c r="B47" s="10" t="n">
        <v>1</v>
      </c>
      <c r="C47" s="10" t="s">
        <v>152</v>
      </c>
      <c r="D47" s="10" t="s">
        <v>157</v>
      </c>
      <c r="E47" s="10" t="n">
        <v>6</v>
      </c>
      <c r="F47" s="10" t="s">
        <v>134</v>
      </c>
    </row>
    <row r="48" customFormat="false" ht="15" hidden="false" customHeight="false" outlineLevel="0" collapsed="false">
      <c r="A48" s="6" t="s">
        <v>203</v>
      </c>
      <c r="B48" s="6" t="n">
        <v>3</v>
      </c>
      <c r="C48" s="6" t="s">
        <v>152</v>
      </c>
      <c r="D48" s="6" t="s">
        <v>155</v>
      </c>
      <c r="E48" s="6" t="n">
        <v>7</v>
      </c>
      <c r="F48" s="6" t="s">
        <v>124</v>
      </c>
    </row>
    <row r="49" customFormat="false" ht="15" hidden="false" customHeight="false" outlineLevel="0" collapsed="false">
      <c r="A49" s="10" t="s">
        <v>204</v>
      </c>
      <c r="B49" s="10" t="n">
        <v>1</v>
      </c>
      <c r="C49" s="10" t="s">
        <v>152</v>
      </c>
      <c r="D49" s="10" t="s">
        <v>153</v>
      </c>
      <c r="E49" s="10" t="n">
        <v>7</v>
      </c>
      <c r="F49" s="10" t="s">
        <v>124</v>
      </c>
    </row>
    <row r="50" customFormat="false" ht="15" hidden="false" customHeight="false" outlineLevel="0" collapsed="false">
      <c r="A50" s="6" t="s">
        <v>205</v>
      </c>
      <c r="B50" s="6" t="n">
        <v>2</v>
      </c>
      <c r="C50" s="6" t="s">
        <v>152</v>
      </c>
      <c r="D50" s="6" t="s">
        <v>161</v>
      </c>
      <c r="E50" s="6" t="n">
        <v>8</v>
      </c>
      <c r="F50" s="6" t="s">
        <v>124</v>
      </c>
    </row>
    <row r="51" customFormat="false" ht="15" hidden="false" customHeight="false" outlineLevel="0" collapsed="false">
      <c r="A51" s="10" t="s">
        <v>206</v>
      </c>
      <c r="B51" s="10" t="n">
        <v>1</v>
      </c>
      <c r="C51" s="10" t="s">
        <v>152</v>
      </c>
      <c r="D51" s="10" t="s">
        <v>155</v>
      </c>
      <c r="E51" s="10" t="n">
        <v>8</v>
      </c>
      <c r="F51" s="10" t="s">
        <v>124</v>
      </c>
    </row>
    <row r="53" customFormat="false" ht="15" hidden="false" customHeight="false" outlineLevel="0" collapsed="false">
      <c r="A53" s="2" t="s">
        <v>207</v>
      </c>
    </row>
    <row r="54" customFormat="false" ht="15" hidden="false" customHeight="false" outlineLevel="0" collapsed="false">
      <c r="A54" s="0" t="s">
        <v>152</v>
      </c>
      <c r="B54" s="15" t="n">
        <f aca="false">COUNTIF(C2:C51,"Attending")</f>
        <v>43</v>
      </c>
    </row>
    <row r="55" customFormat="false" ht="15" hidden="false" customHeight="false" outlineLevel="0" collapsed="false">
      <c r="A55" s="0" t="s">
        <v>68</v>
      </c>
      <c r="B55" s="16" t="n">
        <f aca="false">COUNTIF(C2:C51,"Pending")</f>
        <v>5</v>
      </c>
    </row>
    <row r="56" customFormat="false" ht="15" hidden="false" customHeight="false" outlineLevel="0" collapsed="false">
      <c r="A56" s="0" t="s">
        <v>166</v>
      </c>
      <c r="B56" s="17" t="n">
        <f aca="false">COUNTIF(C2:C51,"Declined")</f>
        <v>2</v>
      </c>
    </row>
    <row r="57" customFormat="false" ht="15" hidden="false" customHeight="false" outlineLevel="0" collapsed="false">
      <c r="A57" s="0" t="s">
        <v>208</v>
      </c>
      <c r="B57" s="18" t="n">
        <f aca="false">SUM(B2:B51)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2026-03-26T19:51:27Z</dcterms:created>
  <dc:creator>openpyxl</dc:creator>
  <dc:description/>
  <dc:language>en-US</dc:language>
  <cp:lastModifiedBy/>
  <dcterms:modified xsi:type="dcterms:W3CDTF">2026-03-26T19:51:27Z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